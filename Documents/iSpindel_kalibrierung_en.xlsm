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3935" windowHeight="7455"/>
  </bookViews>
  <sheets>
    <sheet name="Kalibrierung" sheetId="1" r:id="rId1"/>
  </sheets>
  <definedNames>
    <definedName name="Measured_°Plato">Kalibrierung!#REF!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/>
  <c r="C5"/>
  <c r="C4"/>
  <c r="C6"/>
  <c r="C7"/>
  <c r="C8"/>
  <c r="C9"/>
  <c r="C10"/>
  <c r="D8" l="1"/>
  <c r="D9"/>
  <c r="D10"/>
  <c r="D11"/>
  <c r="D12"/>
  <c r="D13"/>
  <c r="D14"/>
  <c r="D15"/>
  <c r="D16"/>
  <c r="D17"/>
  <c r="D18"/>
  <c r="D19"/>
  <c r="D20"/>
  <c r="D21"/>
  <c r="D22"/>
  <c r="D4"/>
  <c r="D5"/>
  <c r="D6"/>
  <c r="D7"/>
</calcChain>
</file>

<file path=xl/sharedStrings.xml><?xml version="1.0" encoding="utf-8"?>
<sst xmlns="http://schemas.openxmlformats.org/spreadsheetml/2006/main" count="9" uniqueCount="9">
  <si>
    <t/>
  </si>
  <si>
    <t>Plato Formel:</t>
  </si>
  <si>
    <t>Measured °Plato</t>
  </si>
  <si>
    <t>Deviation °</t>
  </si>
  <si>
    <t>Measured Angle (°)</t>
  </si>
  <si>
    <t>Measured SG</t>
  </si>
  <si>
    <t>Calibration of the iSpindel</t>
  </si>
  <si>
    <t>Plato = -0,005578609*(tilt)^2 + 0,896695532*(tilt)-18,36226085</t>
  </si>
  <si>
    <t>Density = 0,8054*(tilt)^0,0678</t>
  </si>
</sst>
</file>

<file path=xl/styles.xml><?xml version="1.0" encoding="utf-8"?>
<styleSheet xmlns="http://schemas.openxmlformats.org/spreadsheetml/2006/main">
  <numFmts count="1">
    <numFmt numFmtId="164" formatCode="0.000"/>
  </numFmts>
  <fonts count="3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 textRotation="45" wrapText="1"/>
    </xf>
    <xf numFmtId="0" fontId="0" fillId="0" borderId="0" xfId="0" quotePrefix="1"/>
    <xf numFmtId="0" fontId="1" fillId="0" borderId="0" xfId="0" applyFont="1" applyAlignment="1"/>
    <xf numFmtId="164" fontId="0" fillId="0" borderId="0" xfId="0" applyNumberFormat="1"/>
    <xf numFmtId="164" fontId="0" fillId="0" borderId="0" xfId="0" applyNumberFormat="1" applyProtection="1"/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ální" xfId="0" builtinId="0"/>
  </cellStyles>
  <dxfs count="5">
    <dxf>
      <numFmt numFmtId="164" formatCode="0.000"/>
      <protection locked="1" hidden="0"/>
    </dxf>
    <dxf>
      <numFmt numFmtId="164" formatCode="0.000"/>
    </dxf>
    <dxf>
      <numFmt numFmtId="164" formatCode="0.000"/>
    </dxf>
    <dxf>
      <numFmt numFmtId="164" formatCode="0.000"/>
    </dxf>
    <dxf>
      <alignment horizontal="general" vertical="center" textRotation="45" wrapText="1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cs-CZ"/>
  <c:style val="44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Kalibrierung!$C$3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Eq val="1"/>
            <c:trendlineLbl>
              <c:layout>
                <c:manualLayout>
                  <c:x val="-9.3608923884514458E-2"/>
                  <c:y val="-4.3227774098331173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cs-CZ"/>
                </a:p>
              </c:txPr>
            </c:trendlineLbl>
          </c:trendline>
          <c:trendline>
            <c:trendlineType val="poly"/>
            <c:order val="2"/>
          </c:trendline>
          <c:trendline>
            <c:trendlineType val="poly"/>
            <c:order val="2"/>
          </c:trendline>
          <c:xVal>
            <c:numRef>
              <c:f>Kalibrierung!$A$4:$A$22</c:f>
              <c:numCache>
                <c:formatCode>0.000</c:formatCode>
                <c:ptCount val="19"/>
                <c:pt idx="0">
                  <c:v>24.05</c:v>
                </c:pt>
                <c:pt idx="1">
                  <c:v>27.66</c:v>
                </c:pt>
                <c:pt idx="2">
                  <c:v>32.22</c:v>
                </c:pt>
                <c:pt idx="3">
                  <c:v>35.729999999999997</c:v>
                </c:pt>
                <c:pt idx="4">
                  <c:v>37.340000000000003</c:v>
                </c:pt>
                <c:pt idx="5">
                  <c:v>41.05</c:v>
                </c:pt>
                <c:pt idx="6">
                  <c:v>52.36</c:v>
                </c:pt>
              </c:numCache>
            </c:numRef>
          </c:xVal>
          <c:yVal>
            <c:numRef>
              <c:f>Kalibrierung!$C$4:$C$22</c:f>
              <c:numCache>
                <c:formatCode>0.000</c:formatCode>
                <c:ptCount val="19"/>
                <c:pt idx="0">
                  <c:v>-2.9999999999859028E-3</c:v>
                </c:pt>
                <c:pt idx="1">
                  <c:v>2.0515396464640787</c:v>
                </c:pt>
                <c:pt idx="2">
                  <c:v>4.8308423624228851</c:v>
                </c:pt>
                <c:pt idx="3">
                  <c:v>6.57239032727216</c:v>
                </c:pt>
                <c:pt idx="4">
                  <c:v>7.5582290190000947</c:v>
                </c:pt>
                <c:pt idx="5">
                  <c:v>8.7810816463749575</c:v>
                </c:pt>
                <c:pt idx="6">
                  <c:v>13.333941235608222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D95-41AA-9B6B-CF6AFF5ADD8F}"/>
            </c:ext>
          </c:extLst>
        </c:ser>
        <c:dLbls/>
        <c:axId val="91034368"/>
        <c:axId val="91036288"/>
      </c:scatterChart>
      <c:valAx>
        <c:axId val="91034368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°</a:t>
                </a:r>
              </a:p>
            </c:rich>
          </c:tx>
          <c:layout/>
        </c:title>
        <c:numFmt formatCode="0.000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cs-CZ"/>
          </a:p>
        </c:txPr>
        <c:crossAx val="91036288"/>
        <c:crosses val="autoZero"/>
        <c:crossBetween val="midCat"/>
      </c:valAx>
      <c:valAx>
        <c:axId val="910362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layout/>
        </c:title>
        <c:numFmt formatCode="0.000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cs-CZ"/>
          </a:p>
        </c:txPr>
        <c:crossAx val="91034368"/>
        <c:crosses val="autoZero"/>
        <c:crossBetween val="midCat"/>
      </c:valAx>
    </c:plotArea>
    <c:plotVisOnly val="1"/>
    <c:dispBlanksAs val="gap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cs-CZ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Kalibrierung!$B$3</c:f>
              <c:strCache>
                <c:ptCount val="1"/>
                <c:pt idx="0">
                  <c:v>Measured SG</c:v>
                </c:pt>
              </c:strCache>
            </c:strRef>
          </c:tx>
          <c:spPr>
            <a:ln w="19050">
              <a:noFill/>
            </a:ln>
          </c:spPr>
          <c:trendline>
            <c:trendlineType val="power"/>
            <c:dispRSqr val="1"/>
            <c:dispEq val="1"/>
            <c:trendlineLbl>
              <c:layout/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0.17581689701374742"/>
                  <c:y val="9.3916372092443315E-2"/>
                </c:manualLayout>
              </c:layout>
              <c:numFmt formatCode="General" sourceLinked="0"/>
            </c:trendlineLbl>
          </c:trendline>
          <c:xVal>
            <c:numRef>
              <c:f>Kalibrierung!$A$4:$A$10</c:f>
              <c:numCache>
                <c:formatCode>0.000</c:formatCode>
                <c:ptCount val="7"/>
                <c:pt idx="0">
                  <c:v>24.05</c:v>
                </c:pt>
                <c:pt idx="1">
                  <c:v>27.66</c:v>
                </c:pt>
                <c:pt idx="2">
                  <c:v>32.22</c:v>
                </c:pt>
                <c:pt idx="3">
                  <c:v>35.729999999999997</c:v>
                </c:pt>
                <c:pt idx="4">
                  <c:v>37.340000000000003</c:v>
                </c:pt>
                <c:pt idx="5">
                  <c:v>41.05</c:v>
                </c:pt>
                <c:pt idx="6">
                  <c:v>52.36</c:v>
                </c:pt>
              </c:numCache>
            </c:numRef>
          </c:xVal>
          <c:yVal>
            <c:numRef>
              <c:f>Kalibrierung!$B$4:$B$10</c:f>
              <c:numCache>
                <c:formatCode>0.000</c:formatCode>
                <c:ptCount val="7"/>
                <c:pt idx="0">
                  <c:v>1</c:v>
                </c:pt>
                <c:pt idx="1">
                  <c:v>1.008</c:v>
                </c:pt>
                <c:pt idx="2">
                  <c:v>1.0189999999999999</c:v>
                </c:pt>
                <c:pt idx="3">
                  <c:v>1.026</c:v>
                </c:pt>
                <c:pt idx="4">
                  <c:v>1.03</c:v>
                </c:pt>
                <c:pt idx="5">
                  <c:v>1.0349999999999999</c:v>
                </c:pt>
                <c:pt idx="6">
                  <c:v>1.054</c:v>
                </c:pt>
              </c:numCache>
            </c:numRef>
          </c:yVal>
        </c:ser>
        <c:dLbls/>
        <c:axId val="88750720"/>
        <c:axId val="88749184"/>
      </c:scatterChart>
      <c:valAx>
        <c:axId val="88750720"/>
        <c:scaling>
          <c:orientation val="minMax"/>
        </c:scaling>
        <c:axPos val="b"/>
        <c:title>
          <c:layout/>
        </c:title>
        <c:numFmt formatCode="0.000" sourceLinked="1"/>
        <c:majorTickMark val="none"/>
        <c:tickLblPos val="nextTo"/>
        <c:crossAx val="88749184"/>
        <c:crosses val="autoZero"/>
        <c:crossBetween val="midCat"/>
      </c:valAx>
      <c:valAx>
        <c:axId val="88749184"/>
        <c:scaling>
          <c:orientation val="minMax"/>
        </c:scaling>
        <c:axPos val="l"/>
        <c:majorGridlines/>
        <c:title>
          <c:layout/>
        </c:title>
        <c:numFmt formatCode="0.000" sourceLinked="1"/>
        <c:majorTickMark val="none"/>
        <c:tickLblPos val="nextTo"/>
        <c:crossAx val="88750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14</xdr:col>
      <xdr:colOff>0</xdr:colOff>
      <xdr:row>25</xdr:row>
      <xdr:rowOff>159068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xmlns="" id="{0901ED0E-7DF2-41B9-8057-ACB64DED61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95249</xdr:colOff>
      <xdr:row>1</xdr:row>
      <xdr:rowOff>47624</xdr:rowOff>
    </xdr:from>
    <xdr:to>
      <xdr:col>23</xdr:col>
      <xdr:colOff>47624</xdr:colOff>
      <xdr:row>19</xdr:row>
      <xdr:rowOff>123824</xdr:rowOff>
    </xdr:to>
    <xdr:graphicFrame macro="">
      <xdr:nvGraphicFramePr>
        <xdr:cNvPr id="3" name="Graf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3:D22" totalsRowShown="0" headerRowDxfId="4">
  <autoFilter ref="A3:D22"/>
  <tableColumns count="4">
    <tableColumn id="1" name="Measured Angle (°)" dataDxfId="3"/>
    <tableColumn id="4" name="Measured SG" dataDxfId="2"/>
    <tableColumn id="2" name="Measured °Plato" dataDxfId="1">
      <calculatedColumnFormula>(-1*616.868)+(1111.14*Kalibrierung!B4)-(630.272*Kalibrierung!B4^2)+(135.997*Kalibrierung!B4^3)</calculatedColumnFormula>
    </tableColumn>
    <tableColumn id="3" name="Deviation °" dataDxfId="0">
      <calculatedColumnFormula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3"/>
  <sheetViews>
    <sheetView tabSelected="1" topLeftCell="D1" workbookViewId="0">
      <selection activeCell="K34" sqref="K34"/>
    </sheetView>
  </sheetViews>
  <sheetFormatPr defaultColWidth="11.42578125" defaultRowHeight="15"/>
  <cols>
    <col min="1" max="1" width="11.42578125" bestFit="1" customWidth="1"/>
    <col min="2" max="2" width="11.42578125" customWidth="1"/>
    <col min="3" max="3" width="11.42578125" bestFit="1" customWidth="1"/>
  </cols>
  <sheetData>
    <row r="1" spans="1:14" ht="19.5">
      <c r="A1" s="8" t="s">
        <v>6</v>
      </c>
      <c r="B1" s="8"/>
      <c r="C1" s="8"/>
      <c r="D1" s="8"/>
      <c r="E1" s="3"/>
      <c r="F1" s="6" t="s">
        <v>1</v>
      </c>
      <c r="G1" s="6"/>
      <c r="H1" s="7"/>
      <c r="I1" s="7"/>
      <c r="J1" s="7"/>
      <c r="K1" s="7"/>
      <c r="L1" s="7"/>
      <c r="M1" s="7"/>
      <c r="N1" s="7"/>
    </row>
    <row r="3" spans="1:14" ht="54.75" customHeight="1">
      <c r="A3" s="1" t="s">
        <v>4</v>
      </c>
      <c r="B3" s="1" t="s">
        <v>5</v>
      </c>
      <c r="C3" s="1" t="s">
        <v>2</v>
      </c>
      <c r="D3" s="1" t="s">
        <v>3</v>
      </c>
    </row>
    <row r="4" spans="1:14">
      <c r="A4" s="4">
        <v>24.05</v>
      </c>
      <c r="B4" s="4">
        <v>1</v>
      </c>
      <c r="C4" s="4">
        <f>(-1*616.868)+(1111.14*Kalibrierung!B4)-(630.272*Kalibrierung!B4^2)+(135.997*Kalibrierung!B4^3)</f>
        <v>-2.9999999999859028E-3</v>
      </c>
      <c r="D4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49.785882556647493</v>
      </c>
    </row>
    <row r="5" spans="1:14">
      <c r="A5" s="4">
        <v>27.66</v>
      </c>
      <c r="B5" s="4">
        <v>1.008</v>
      </c>
      <c r="C5" s="4">
        <f>(-1*616.868)+(1111.14*Kalibrierung!B5)-(630.272*Kalibrierung!B5^2)+(135.997*Kalibrierung!B5^3)</f>
        <v>2.0515396464640787</v>
      </c>
      <c r="D5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36.446203043144465</v>
      </c>
    </row>
    <row r="6" spans="1:14">
      <c r="A6" s="4">
        <v>32.22</v>
      </c>
      <c r="B6" s="4">
        <v>1.0189999999999999</v>
      </c>
      <c r="C6" s="4">
        <f>(-1*616.868)+(1111.14*Kalibrierung!B6)-(630.272*Kalibrierung!B6^2)+(135.997*Kalibrierung!B6^3)</f>
        <v>4.8308423624228851</v>
      </c>
      <c r="D6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21.656532914418477</v>
      </c>
    </row>
    <row r="7" spans="1:14">
      <c r="A7" s="4">
        <v>35.729999999999997</v>
      </c>
      <c r="B7" s="4">
        <v>1.026</v>
      </c>
      <c r="C7" s="4">
        <f>(-1*616.868)+(1111.14*Kalibrierung!B7)-(630.272*Kalibrierung!B7^2)+(135.997*Kalibrierung!B7^3)</f>
        <v>6.57239032727216</v>
      </c>
      <c r="D7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11.301217921913263</v>
      </c>
    </row>
    <row r="8" spans="1:14">
      <c r="A8" s="4">
        <v>37.340000000000003</v>
      </c>
      <c r="B8" s="4">
        <v>1.03</v>
      </c>
      <c r="C8" s="4">
        <f>(-1*616.868)+(1111.14*Kalibrierung!B8)-(630.272*Kalibrierung!B8^2)+(135.997*Kalibrierung!B8^3)</f>
        <v>7.5582290190000947</v>
      </c>
      <c r="D8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7.1535215219204815</v>
      </c>
    </row>
    <row r="9" spans="1:14">
      <c r="A9" s="4">
        <v>41.05</v>
      </c>
      <c r="B9" s="4">
        <v>1.0349999999999999</v>
      </c>
      <c r="C9" s="4">
        <f>(-1*616.868)+(1111.14*Kalibrierung!B9)-(630.272*Kalibrierung!B9^2)+(135.997*Kalibrierung!B9^3)</f>
        <v>8.7810816463749575</v>
      </c>
      <c r="D9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-2.4590130106775234</v>
      </c>
    </row>
    <row r="10" spans="1:14">
      <c r="A10" s="4">
        <v>52.36</v>
      </c>
      <c r="B10" s="4">
        <v>1.054</v>
      </c>
      <c r="C10" s="4">
        <f>(-1*616.868)+(1111.14*Kalibrierung!B10)-(630.272*Kalibrierung!B10^2)+(135.997*Kalibrierung!B10^3)</f>
        <v>13.333941235608222</v>
      </c>
      <c r="D10" s="5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-22.382213168865377</v>
      </c>
    </row>
    <row r="11" spans="1:14">
      <c r="A11" s="4"/>
      <c r="B11" s="4"/>
      <c r="C11" s="4"/>
      <c r="D11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2" spans="1:14">
      <c r="A12" s="4"/>
      <c r="B12" s="4"/>
      <c r="C12" s="4"/>
      <c r="D12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3" spans="1:14">
      <c r="A13" s="4"/>
      <c r="B13" s="4"/>
      <c r="C13" s="4"/>
      <c r="D13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4" spans="1:14">
      <c r="A14" s="4"/>
      <c r="B14" s="4"/>
      <c r="C14" s="4"/>
      <c r="D14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5" spans="1:14">
      <c r="A15" s="4"/>
      <c r="B15" s="4"/>
      <c r="C15" s="4"/>
      <c r="D15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6" spans="1:14">
      <c r="A16" s="4"/>
      <c r="B16" s="4"/>
      <c r="C16" s="4"/>
      <c r="D16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7" spans="1:5">
      <c r="A17" s="4"/>
      <c r="B17" s="4"/>
      <c r="C17" s="4"/>
      <c r="D17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8" spans="1:5">
      <c r="A18" s="4"/>
      <c r="B18" s="4"/>
      <c r="C18" s="4"/>
      <c r="D18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9" spans="1:5">
      <c r="A19" s="4"/>
      <c r="B19" s="4"/>
      <c r="C19" s="4"/>
      <c r="D19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0" spans="1:5">
      <c r="A20" s="4"/>
      <c r="B20" s="4"/>
      <c r="C20" s="4"/>
      <c r="D20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1" spans="1:5">
      <c r="A21" s="4"/>
      <c r="B21" s="4"/>
      <c r="C21" s="4"/>
      <c r="D21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2" spans="1:5">
      <c r="A22" s="4"/>
      <c r="B22" s="4"/>
      <c r="C22" s="4"/>
      <c r="D22" s="5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3" spans="1:5">
      <c r="D23" s="2" t="s">
        <v>0</v>
      </c>
    </row>
    <row r="28" spans="1:5">
      <c r="A28" s="9" t="s">
        <v>7</v>
      </c>
      <c r="B28" s="9"/>
      <c r="C28" s="9"/>
      <c r="D28" s="9"/>
      <c r="E28" s="9"/>
    </row>
    <row r="29" spans="1:5">
      <c r="A29" s="9" t="s">
        <v>8</v>
      </c>
      <c r="B29" s="9"/>
      <c r="C29" s="9"/>
      <c r="D29" s="9"/>
      <c r="E29" s="9"/>
    </row>
    <row r="33" spans="3:3">
      <c r="C33">
        <f>0.8054*52.1^0.0678</f>
        <v>1.0529632717996982</v>
      </c>
    </row>
  </sheetData>
  <mergeCells count="5">
    <mergeCell ref="F1:G1"/>
    <mergeCell ref="H1:N1"/>
    <mergeCell ref="A1:D1"/>
    <mergeCell ref="A28:E28"/>
    <mergeCell ref="A29:E29"/>
  </mergeCell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Ludvík</cp:lastModifiedBy>
  <dcterms:created xsi:type="dcterms:W3CDTF">2016-11-29T09:38:19Z</dcterms:created>
  <dcterms:modified xsi:type="dcterms:W3CDTF">2022-05-22T07:37:07Z</dcterms:modified>
</cp:coreProperties>
</file>